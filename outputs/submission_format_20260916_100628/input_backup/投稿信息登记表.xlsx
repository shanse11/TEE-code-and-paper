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投稿信息登记表" sheetId="1" r:id="rId3"/>
    <sheet name="多作者明细" sheetId="2" r:id="rId4"/>
    <sheet name="图表素材清单" sheetId="3" r:id="rId5"/>
    <sheet name="填写说明与选项" sheetId="4" r:id="rId6"/>
  </sheets>
  <definedNames>
    <definedName name="_xlnm.Print_Area" localSheetId="0">投稿信息登记表!$A$1:$F$66</definedName>
    <definedName name="_xlnm.Print_Titles" localSheetId="0">投稿信息登记表!$5:$5</definedName>
    <definedName name="_xlnm._FilterDatabase" localSheetId="0" hidden="1">投稿信息登记表!$A$5:$F$66</definedName>
  </definedNames>
  <calcPr calcId="191029"/>
</workbook>
</file>

<file path=xl/sharedStrings.xml><?xml version="1.0" encoding="utf-8"?>
<sst xmlns="http://schemas.openxmlformats.org/spreadsheetml/2006/main" count="240" uniqueCount="240">
  <si>
    <t/>
  </si>
  <si>
    <t>《计算机应用》投稿信息登记表</t>
  </si>
  <si>
    <t>稿件：Hybrid_TEE_Rollup修改版.docx　｜　模板：投稿模版.doc（joca.cn）　｜　登记日期：2026-09-12</t>
  </si>
  <si>
    <t>完成率</t>
  </si>
  <si>
    <t>已确认 / 有效必填</t>
  </si>
  <si>
    <t>14 / 58</t>
  </si>
  <si>
    <t>待填写</t>
  </si>
  <si>
    <t>序号</t>
  </si>
  <si>
    <t>类别</t>
  </si>
  <si>
    <t>登记项</t>
  </si>
  <si>
    <t>填写内容</t>
  </si>
  <si>
    <t>填写要求与示例</t>
  </si>
  <si>
    <t>状态</t>
  </si>
  <si>
    <t>A 作者信息</t>
  </si>
  <si>
    <t>作者总数</t>
  </si>
  <si>
    <t>阿拉伯数字；如仅杨帆一人填 1</t>
  </si>
  <si>
    <t>第 1 作者姓名</t>
  </si>
  <si>
    <t>杨帆</t>
  </si>
  <si>
    <t>与投稿系统一致；多位作者请在「多作者明细」表逐位登记</t>
  </si>
  <si>
    <t>已确认</t>
  </si>
  <si>
    <t>姓名拼音 / 英文名</t>
  </si>
  <si>
    <t>YANG Fan</t>
  </si>
  <si>
    <t>姓全大写、名首字母大写，格式如 HU Dan（胡丹）</t>
  </si>
  <si>
    <t>出生年</t>
  </si>
  <si>
    <t>四位年份，如 1998</t>
  </si>
  <si>
    <t>性别</t>
  </si>
  <si>
    <t>男</t>
  </si>
  <si>
    <t>男 / 女</t>
  </si>
  <si>
    <t>籍贯（省 + 市）</t>
  </si>
  <si>
    <t>湖南邵阳</t>
  </si>
  <si>
    <t>具体到城市，如：甘肃兰州</t>
  </si>
  <si>
    <t>职称 / 身份</t>
  </si>
  <si>
    <t>在读的硕士研究生</t>
  </si>
  <si>
    <t>硕士研究生 / 博士研究生 / 硕士 / 博士 / 讲师 / 副教授 / 教授；在读须标“研究生”，已毕业标“硕士 / 博士”，博士后只标博士</t>
  </si>
  <si>
    <t>学历</t>
  </si>
  <si>
    <t>硕士研究生</t>
  </si>
  <si>
    <t>博士研究生 / 硕士研究生 / 博士 / 硕士</t>
  </si>
  <si>
    <t>是否 CCF 会员</t>
  </si>
  <si>
    <t>否</t>
  </si>
  <si>
    <t>是 / 否；是则必须填写会员号</t>
  </si>
  <si>
    <t>CCF 会员号</t>
  </si>
  <si>
    <t>无</t>
  </si>
  <si>
    <t>非会员填“无”</t>
  </si>
  <si>
    <t>主要研究方向</t>
  </si>
  <si>
    <t>区块链系统与跨链互操作、可信执行环境与隐私计算、Layer 2/Rollup 扩容与安全、去中心化金融与交易公平性</t>
  </si>
  <si>
    <t>3~5 个，顿号（、）分隔；不要写“计算机应用”这类过宽表述</t>
  </si>
  <si>
    <t>在本文中的工作量</t>
  </si>
  <si>
    <t>选题、方案设计、原型实现、实验、论文撰写</t>
  </si>
  <si>
    <t>单作者请列全部环节：选题、方案设计、原型实现、实验、论文撰写</t>
  </si>
  <si>
    <t>通信作者邮箱</t>
  </si>
  <si>
    <t>2991777340@qq.com</t>
  </si>
  <si>
    <t>仅一位作者时本人即通信作者</t>
  </si>
  <si>
    <t>联系人姓名</t>
  </si>
  <si>
    <t>用于编辑部沟通，可与通信作者不同</t>
  </si>
  <si>
    <t>联系人手机号</t>
  </si>
  <si>
    <t>13319693336</t>
  </si>
  <si>
    <t>必填</t>
  </si>
  <si>
    <t>联系人邮箱</t>
  </si>
  <si>
    <t>通信地址</t>
  </si>
  <si>
    <t>上海市普陀区中山北路3663号华东师范大学数据科学与工程学院，200062</t>
  </si>
  <si>
    <t>精确到门牌号与邮编</t>
  </si>
  <si>
    <t>B 单位信息</t>
  </si>
  <si>
    <t>中文单位（一级 二级）</t>
  </si>
  <si>
    <t>华东师范大学 数据科学与工程学院</t>
  </si>
  <si>
    <t>须用正式对外全称，不使用缩略语</t>
  </si>
  <si>
    <t>单位所在地与邮编</t>
  </si>
  <si>
    <t>上海 200062</t>
  </si>
  <si>
    <t>直辖市可不写省</t>
  </si>
  <si>
    <t>英文单位</t>
  </si>
  <si>
    <t>School of Data Science and Engineering, East China Normal University, Shanghai 200062, China</t>
  </si>
  <si>
    <t>须到学校中英文官网核实</t>
  </si>
  <si>
    <t>是否有第二单位</t>
  </si>
  <si>
    <t>是 / 否</t>
  </si>
  <si>
    <t>第二单位中英文</t>
  </si>
  <si>
    <t>有则填写，须与官网一致</t>
  </si>
  <si>
    <t>不适用</t>
  </si>
  <si>
    <t>C 稿件元数据</t>
  </si>
  <si>
    <t>中文题名</t>
  </si>
  <si>
    <t>面向高频 DApp 的 Hybrid TEE-Rollup 可恢复挑战协议与轻量 DA 成本评估</t>
  </si>
  <si>
    <t>一般不超过 20 个汉字；建议不用标点与不常见缩略语、不用副标题</t>
  </si>
  <si>
    <t>备选题名</t>
  </si>
  <si>
    <t>建议把 DA 展开为“数据可用性”，减少缩略语</t>
  </si>
  <si>
    <t>英文题名</t>
  </si>
  <si>
    <t>Recoverable Challenge Protocol and Lightweight DA Cost Evaluation for Hybrid TEE-Rollup in High-Frequency DApps</t>
  </si>
  <si>
    <t>与中文对应；须合并为一个段落，让其自动换行</t>
  </si>
  <si>
    <t>中图分类号</t>
  </si>
  <si>
    <t>TP311</t>
  </si>
  <si>
    <t>请到 clcindex.com 复核；备选 TP309（信息安全）/ TP393（计算机网络）</t>
  </si>
  <si>
    <t>文献标志码</t>
  </si>
  <si>
    <t>A</t>
  </si>
  <si>
    <t>固定为 A</t>
  </si>
  <si>
    <t>中文关键词（5 个）</t>
  </si>
  <si>
    <t>交互式挑战；数据可用性；高频 DApp；成本摊销；故障恢复</t>
  </si>
  <si>
    <t>必须为 5 个，分号（；）分隔；现为 6 个需删减 1 个</t>
  </si>
  <si>
    <t>英文关键词（5 个）</t>
  </si>
  <si>
    <t>Interactive challenge; Data availability; High-frequency DApps; Cost amortization; Fault recovery</t>
  </si>
  <si>
    <t>必须为 5 个；除通用专有名词外一律小写，须写全称，不用复数</t>
  </si>
  <si>
    <t>投稿类型</t>
  </si>
  <si>
    <t>新投稿</t>
  </si>
  <si>
    <t>新投稿 / 退修稿（退修稿须附逐条修改说明）</t>
  </si>
  <si>
    <t>收稿日期</t>
  </si>
  <si>
    <t>新投稿留空，由编辑部填写</t>
  </si>
  <si>
    <t>DOI 行</t>
  </si>
  <si>
    <t>保留模板原文</t>
  </si>
  <si>
    <t>不得修改或删除模板首页页眉与 DOI 行</t>
  </si>
  <si>
    <t>D 基金与项目</t>
  </si>
  <si>
    <t>是否有基金支持</t>
  </si>
  <si>
    <t>是 / 否；无也须明确注明</t>
  </si>
  <si>
    <t>项目种类</t>
  </si>
  <si>
    <t>如：国家自然科学基金资助项目、国家重点研发计划项目</t>
  </si>
  <si>
    <t>项目编号</t>
  </si>
  <si>
    <t>必填；因涉密等原因不能提供须另附说明</t>
  </si>
  <si>
    <t>项目名称</t>
  </si>
  <si>
    <t>项目主持人</t>
  </si>
  <si>
    <t>项目起止时间</t>
  </si>
  <si>
    <t>格式如 2023-01—2026-12</t>
  </si>
  <si>
    <t>项目主要研究内容</t>
  </si>
  <si>
    <t>本文与项目研究的关系</t>
  </si>
  <si>
    <t>本人在项目承担人中的排名</t>
  </si>
  <si>
    <t>阿拉伯数字，如 3</t>
  </si>
  <si>
    <t>本人在项目中承担的工作</t>
  </si>
  <si>
    <t>基金项目英文译文</t>
  </si>
  <si>
    <t>尽量使用全称并核实正确拼写</t>
  </si>
  <si>
    <t>E 图表与素材</t>
  </si>
  <si>
    <t>图 1 矢量源文件</t>
  </si>
  <si>
    <t>现为 PNG，须提供 emf/wmf/svg 或绘图源文件</t>
  </si>
  <si>
    <t>图 2 矢量源文件</t>
  </si>
  <si>
    <t>图 3 矢量源文件</t>
  </si>
  <si>
    <t>图 4 矢量源文件</t>
  </si>
  <si>
    <t>绘图工具</t>
  </si>
  <si>
    <t>Matplotlib / Visio / PPT / Excel（需同时提供源文件或数据表）</t>
  </si>
  <si>
    <t>是否授权按现有数据重绘</t>
  </si>
  <si>
    <t>是</t>
  </si>
  <si>
    <t>找不到矢量源文件时填“是”</t>
  </si>
  <si>
    <t>是否需补中文参考文献</t>
  </si>
  <si>
    <t>建议补 3~5 篇近三年中文核心期刊文献</t>
  </si>
  <si>
    <t>F 格式改造确认</t>
  </si>
  <si>
    <t>章节编号改为 0 起</t>
  </si>
  <si>
    <t>待办</t>
  </si>
  <si>
    <t>0 引言 / 1 相关工作 / 2 系统概览 / 3 核心机制 / 4 实验评估 / 5 结语</t>
  </si>
  <si>
    <t>表编号重编为表 1、表 2</t>
  </si>
  <si>
    <t>现为表 4、表 5，全文不存在表 1~表 3</t>
  </si>
  <si>
    <t>公式改用公式编辑器</t>
  </si>
  <si>
    <t>须为 OMML 对象，不得处理成图片</t>
  </si>
  <si>
    <t>图题移出表格并设嵌入型</t>
  </si>
  <si>
    <t>现图题置于 1×1 表格单元格内，须改为图下方独立段落</t>
  </si>
  <si>
    <t>页眉改为《计算机应用》</t>
  </si>
  <si>
    <t>现页眉为《计算机科学与探索》</t>
  </si>
  <si>
    <t>全文套用模板样式</t>
  </si>
  <si>
    <t>现 147 个段落全部为 Normal 样式</t>
  </si>
  <si>
    <t>表格改三线表并统一精度</t>
  </si>
  <si>
    <t>同列同精度，单位写入项目栏“/单位”</t>
  </si>
  <si>
    <t>随附材料：作者工作量说明</t>
  </si>
  <si>
    <t>投稿必须随附</t>
  </si>
  <si>
    <t>随附材料：研究背景与基金项目介绍</t>
  </si>
  <si>
    <t>随附材料：变量符号说明表</t>
  </si>
  <si>
    <t>无矩阵 / 矢量变量时填“无”</t>
  </si>
  <si>
    <t>随附材料：修改说明</t>
  </si>
  <si>
    <t>仅退修稿需要</t>
  </si>
  <si>
    <t>姓名</t>
  </si>
  <si>
    <t>姓名拼音/英文名</t>
  </si>
  <si>
    <t>籍贯（省+市）</t>
  </si>
  <si>
    <t>职称/身份</t>
  </si>
  <si>
    <t>是否CCF会员</t>
  </si>
  <si>
    <t>CCF会员号</t>
  </si>
  <si>
    <t>所属单位序号</t>
  </si>
  <si>
    <t>通信作者</t>
  </si>
  <si>
    <t>图/表号</t>
  </si>
  <si>
    <t>当前格式与尺寸</t>
  </si>
  <si>
    <t>矢量源文件路径</t>
  </si>
  <si>
    <t>是否需重出</t>
  </si>
  <si>
    <t>备注</t>
  </si>
  <si>
    <t>图 1</t>
  </si>
  <si>
    <t>Hybrid TEE-Rollup 原型系统架构</t>
  </si>
  <si>
    <t>Hybrid TEE-Rollup prototype system architecture</t>
  </si>
  <si>
    <t>PNG，7.73 × 6.07 cm</t>
  </si>
  <si>
    <t>须重出至版心宽度约 15 cm；文字不小于小5号</t>
  </si>
  <si>
    <t>图 2</t>
  </si>
  <si>
    <t>可恢复挑战协议流程</t>
  </si>
  <si>
    <t>Workflow of the recoverable challenge protocol</t>
  </si>
  <si>
    <t>PNG，8.04 × 6.17 cm</t>
  </si>
  <si>
    <t>流程框架图，不要底色/灰度/阴影</t>
  </si>
  <si>
    <t>图 3</t>
  </si>
  <si>
    <t>完整负载与紧凑提交的字节规模对比</t>
  </si>
  <si>
    <t>Byte-size comparison of full payload and compact commitment</t>
  </si>
  <si>
    <t>PNG，7.87 × 3.70 cm</t>
  </si>
  <si>
    <t>黑白印刷，用线型与标记区分曲线，不用颜色</t>
  </si>
  <si>
    <t>图 4</t>
  </si>
  <si>
    <t>不同数据可用性配置下的摊销 gas 用量趋势</t>
  </si>
  <si>
    <t>Amortized gas usage trend under different DA configurations</t>
  </si>
  <si>
    <t>PNG，7.87 × 4.42 cm</t>
  </si>
  <si>
    <t>多曲线尽量用实线；不使用三维图</t>
  </si>
  <si>
    <t>表 1</t>
  </si>
  <si>
    <t>失败场景分类与当前证据边界</t>
  </si>
  <si>
    <t>Failure scenarios and evidence boundaries</t>
  </si>
  <si>
    <t>Word 表格</t>
  </si>
  <si>
    <t>—</t>
  </si>
  <si>
    <t>现编号为表 4，须重编为表 1；改三线表</t>
  </si>
  <si>
    <t>表 2</t>
  </si>
  <si>
    <t>本地 EVM 关键路径平均 gasUsed</t>
  </si>
  <si>
    <t>Average gasUsed of local EVM key paths</t>
  </si>
  <si>
    <t>现编号为表 5，须重编为表 2；gasUsed 列统一小数位</t>
  </si>
  <si>
    <t>项目</t>
  </si>
  <si>
    <t>说明 / 可选项</t>
  </si>
  <si>
    <t>状态列取值</t>
  </si>
  <si>
    <t>待填写 / 已确认 / 不适用。填完后把状态改为“已确认”，首页完成率会自动更新。</t>
  </si>
  <si>
    <t>在读分别标“硕士研究生 / 博士研究生”；已毕业分别标“硕士 / 博士”；博士后只标明博士。</t>
  </si>
  <si>
    <t>CCF 会员</t>
  </si>
  <si>
    <t>是会员必须标明会员号；不是会员直接略过不写，不写“非会员”。</t>
  </si>
  <si>
    <t>3~5 个，用顿号（、）隔开；范围不要过大，如“计算机应用”不合格。</t>
  </si>
  <si>
    <t>单位署名</t>
  </si>
  <si>
    <t>不使用缩略语，必须是正式对外名称；投稿后作者署名、单位顺序、基金信息不得随意更改。</t>
  </si>
  <si>
    <t>题名</t>
  </si>
  <si>
    <t>一般不超过 20 个汉字，建议不用标点及不常见缩略语，不用副标题。</t>
  </si>
  <si>
    <t>关键词</t>
  </si>
  <si>
    <t>中英文各 5 个。中文用“；”间隔；英文除 TCP/IP 等通用专有名词外均小写，须写全称，不使用复数。</t>
  </si>
  <si>
    <t>必须填写，可到 https://www.clcindex.com/ 查询。</t>
  </si>
  <si>
    <t>基金项目</t>
  </si>
  <si>
    <t>须提供正确编号；因涉密等原因不能提供编号请另附说明。</t>
  </si>
  <si>
    <t>矢量图</t>
  </si>
  <si>
    <t>请用 .emf / .wmf（可编辑文字，不要转曲），或 .svg；同时提供绘图源文件（Matplotlib / Visio / PPT / Excel）。</t>
  </si>
  <si>
    <t>表格</t>
  </si>
  <si>
    <t>三线表；同列表示同一参数、精度一致；单位在项目栏以“/单位”形式表示。</t>
  </si>
  <si>
    <t>公式</t>
  </si>
  <si>
    <t>只能使用公式编辑器编辑，不能处理成图片；矩阵、矢量用 Times New Roman 加粗斜体，其他变量常规斜体。</t>
  </si>
  <si>
    <t>缩略语</t>
  </si>
  <si>
    <t>全文检查：中文摘要“支持向量机(SVM)”，英文摘要“Support Vector Machine (SVM)”，正文首次“支持向量机(Support Vector Machine, SVM)”。</t>
  </si>
  <si>
    <t>百分比与百分点</t>
  </si>
  <si>
    <t>75% 对 50%：差值表述为“提升 25 个百分点”；比率表述为“提升 50%”。两者不可混用。</t>
  </si>
  <si>
    <t>随附材料</t>
  </si>
  <si>
    <t>① 作者工作量说明；② 研究背景与基金项目介绍；③ 变量符号说明表；④ 修改说明（仅退修稿）。</t>
  </si>
  <si>
    <t>/Users/shanse/Documents/ChatGPT/Hybrid TEE-Rollup/outputs/插图矢量版/fig1_architecture.svg（同目录 600 dpi 位图：fig1_architecture.png）</t>
  </si>
  <si>
    <t>/Users/shanse/Documents/ChatGPT/Hybrid TEE-Rollup/outputs/插图矢量版/fig2_challenge_flow.svg（同目录位图：fig2_challenge_flow.png）</t>
  </si>
  <si>
    <t>/Users/shanse/Documents/ChatGPT/Hybrid TEE-Rollup/outputs/插图矢量版/fig3_byte_size.svg（同目录位图：fig3_byte_size.png）</t>
  </si>
  <si>
    <t>/Users/shanse/Documents/ChatGPT/Hybrid TEE-Rollup/outputs/插图矢量版/fig4_da_cost.svg（同目录位图：fig4_da_cost.png）</t>
  </si>
  <si>
    <t>Python Matplotlib；绘图源文件：/Users/shanse/Documents/ChatGPT/Hybrid TEE-Rollup/scripts/redraw_figures_vector.py（图 1、图 2 为框架图；图 3、图 4 为数据图，数据取自项目实验输出 CSV/JSON）</t>
  </si>
  <si>
    <t>现状：13 篇参考文献均为英文（5 篇 arXiv 预印本 [PP/OL] + 8 篇网页/官方文档 [EB/OL]），暂无中文文献；按刊物惯例建议补 3~5 篇近三年中文核心期刊文献，是否补充待作者确认</t>
  </si>
  <si>
    <t>Python Matplotlib（绘图源文件：/Users/shanse/Documents/ChatGPT/Hybrid TEE-Rollup/scripts/redraw_figures_vector.py）</t>
  </si>
  <si>
    <t>否（已有 SVG 矢量源，无需重绘；需将 SVG 替换进 docx，当前仍嵌入 PNG）</t>
  </si>
  <si>
    <t>20 / 58</t>
  </si>
</sst>
</file>

<file path=xl/styles.xml><?xml version="1.0" encoding="utf-8"?>
<styleSheet xmlns="http://schemas.openxmlformats.org/spreadsheetml/2006/main">
  <numFmts count="7">
    <numFmt numFmtId="300" formatCode="0.0%"/>
    <numFmt numFmtId="301" formatCode="General"/>
    <numFmt numFmtId="302" formatCode="_ * #,##0_ ;_ * \-#,##0_ ;_ * &quot;-&quot;_ ;_ @_ "/>
    <numFmt numFmtId="303" formatCode="_ &quot;￥&quot;* #,##0_ ;_ &quot;￥&quot;* \-#,##0_ ;_ &quot;￥&quot;* &quot;-&quot;_ ;_ @_ "/>
    <numFmt numFmtId="304" formatCode="_ &quot;￥&quot;* #,##0.00_ ;_ &quot;￥&quot;* \-#,##0.00_ ;_ &quot;￥&quot;* &quot;-&quot;??_ ;_ @_ "/>
    <numFmt numFmtId="305" formatCode="_ * #,##0.00_ ;_ * \-#,##0.00_ ;_ * &quot;-&quot;??_ ;_ @_ "/>
    <numFmt numFmtId="306" formatCode="0%"/>
  </numFmts>
  <fonts count="31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FFFFFF"/>
      <sz val="15"/>
    </font>
    <font>
      <name val="微软雅黑"/>
      <charset val="134"/>
      <color rgb="FF333333"/>
      <sz val="10"/>
    </font>
    <font>
      <name val="微软雅黑"/>
      <charset val="134"/>
      <b val="1"/>
      <color rgb="FFFFFFFF"/>
      <sz val="10"/>
    </font>
    <font>
      <name val="宋体"/>
      <charset val="134"/>
      <sz val="10"/>
    </font>
    <font>
      <name val="微软雅黑"/>
      <charset val="134"/>
      <b val="1"/>
      <color rgb="FF1F3864"/>
      <sz val="10"/>
    </font>
    <font>
      <color rgb="FF9C6500"/>
    </font>
    <font>
      <color rgb="FF006100"/>
    </font>
    <font>
      <color rgb="FF808080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FFFFF"/>
      <sz val="11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bgColor rgb="FFFFEB9C"/>
      </patternFill>
    </fill>
    <fill>
      <patternFill patternType="solid">
        <bgColor rgb="FFC6EFCE"/>
      </patternFill>
    </fill>
    <fill>
      <patternFill patternType="solid">
        <bgColor rgb="FFE7E6E6"/>
      </patternFill>
    </fill>
    <fill>
      <patternFill patternType="none"/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4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EA9DB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>
    <xf numFmtId="301" fontId="11" fillId="0" borderId="4" xfId="0"/>
    <xf numFmtId="301" fontId="12" fillId="9" borderId="4" xfId="0" applyNumberFormat="0" applyBorder="0" applyAlignment="0" applyProtection="0">
      <alignment vertical="center"/>
    </xf>
    <xf numFmtId="301" fontId="13" fillId="10" borderId="4" xfId="0" applyNumberFormat="0" applyBorder="0" applyAlignment="0" applyProtection="0">
      <alignment vertical="center"/>
    </xf>
    <xf numFmtId="301" fontId="12" fillId="11" borderId="4" xfId="0" applyNumberFormat="0" applyBorder="0" applyAlignment="0" applyProtection="0">
      <alignment vertical="center"/>
    </xf>
    <xf numFmtId="301" fontId="12" fillId="12" borderId="4" xfId="0" applyNumberFormat="0" applyBorder="0" applyAlignment="0" applyProtection="0">
      <alignment vertical="center"/>
    </xf>
    <xf numFmtId="301" fontId="13" fillId="13" borderId="4" xfId="0" applyNumberFormat="0" applyBorder="0" applyAlignment="0" applyProtection="0">
      <alignment vertical="center"/>
    </xf>
    <xf numFmtId="301" fontId="12" fillId="14" borderId="4" xfId="0" applyNumberFormat="0" applyBorder="0" applyAlignment="0" applyProtection="0">
      <alignment vertical="center"/>
    </xf>
    <xf numFmtId="301" fontId="12" fillId="15" borderId="4" xfId="0" applyNumberFormat="0" applyBorder="0" applyAlignment="0" applyProtection="0">
      <alignment vertical="center"/>
    </xf>
    <xf numFmtId="301" fontId="13" fillId="16" borderId="4" xfId="0" applyNumberFormat="0" applyBorder="0" applyAlignment="0" applyProtection="0">
      <alignment vertical="center"/>
    </xf>
    <xf numFmtId="301" fontId="13" fillId="17" borderId="4" xfId="0" applyNumberFormat="0" applyBorder="0" applyAlignment="0" applyProtection="0">
      <alignment vertical="center"/>
    </xf>
    <xf numFmtId="301" fontId="12" fillId="18" borderId="4" xfId="0" applyNumberFormat="0" applyBorder="0" applyAlignment="0" applyProtection="0">
      <alignment vertical="center"/>
    </xf>
    <xf numFmtId="301" fontId="12" fillId="19" borderId="4" xfId="0" applyNumberFormat="0" applyBorder="0" applyAlignment="0" applyProtection="0">
      <alignment vertical="center"/>
    </xf>
    <xf numFmtId="301" fontId="13" fillId="20" borderId="4" xfId="0" applyNumberFormat="0" applyBorder="0" applyAlignment="0" applyProtection="0">
      <alignment vertical="center"/>
    </xf>
    <xf numFmtId="301" fontId="13" fillId="21" borderId="4" xfId="0" applyNumberFormat="0" applyBorder="0" applyAlignment="0" applyProtection="0">
      <alignment vertical="center"/>
    </xf>
    <xf numFmtId="301" fontId="12" fillId="22" borderId="4" xfId="0" applyNumberFormat="0" applyBorder="0" applyAlignment="0" applyProtection="0">
      <alignment vertical="center"/>
    </xf>
    <xf numFmtId="301" fontId="12" fillId="23" borderId="4" xfId="0" applyNumberFormat="0" applyBorder="0" applyAlignment="0" applyProtection="0">
      <alignment vertical="center"/>
    </xf>
    <xf numFmtId="301" fontId="13" fillId="24" borderId="4" xfId="0" applyNumberFormat="0" applyBorder="0" applyAlignment="0" applyProtection="0">
      <alignment vertical="center"/>
    </xf>
    <xf numFmtId="301" fontId="13" fillId="25" borderId="4" xfId="0" applyNumberFormat="0" applyBorder="0" applyAlignment="0" applyProtection="0">
      <alignment vertical="center"/>
    </xf>
    <xf numFmtId="301" fontId="12" fillId="26" borderId="4" xfId="0" applyNumberFormat="0" applyBorder="0" applyAlignment="0" applyProtection="0">
      <alignment vertical="center"/>
    </xf>
    <xf numFmtId="301" fontId="12" fillId="27" borderId="4" xfId="0" applyNumberFormat="0" applyBorder="0" applyAlignment="0" applyProtection="0">
      <alignment vertical="center"/>
    </xf>
    <xf numFmtId="301" fontId="13" fillId="28" borderId="4" xfId="0" applyNumberFormat="0" applyBorder="0" applyAlignment="0" applyProtection="0">
      <alignment vertical="center"/>
    </xf>
    <xf numFmtId="301" fontId="13" fillId="29" borderId="4" xfId="0" applyNumberFormat="0" applyBorder="0" applyAlignment="0" applyProtection="0">
      <alignment vertical="center"/>
    </xf>
    <xf numFmtId="301" fontId="12" fillId="30" borderId="4" xfId="0" applyNumberFormat="0" applyBorder="0" applyAlignment="0" applyProtection="0">
      <alignment vertical="center"/>
    </xf>
    <xf numFmtId="301" fontId="14" fillId="31" borderId="4" xfId="0" applyNumberFormat="0" applyBorder="0" applyAlignment="0" applyProtection="0">
      <alignment vertical="center"/>
    </xf>
    <xf numFmtId="301" fontId="15" fillId="32" borderId="4" xfId="0" applyNumberFormat="0" applyBorder="0" applyAlignment="0" applyProtection="0">
      <alignment vertical="center"/>
    </xf>
    <xf numFmtId="301" fontId="16" fillId="8" borderId="5" xfId="0" applyNumberFormat="0" applyFill="0" applyAlignment="0" applyProtection="0">
      <alignment vertical="center"/>
    </xf>
    <xf numFmtId="301" fontId="17" fillId="8" borderId="6" xfId="0" applyNumberFormat="0" applyFill="0" applyAlignment="0" applyProtection="0">
      <alignment vertical="center"/>
    </xf>
    <xf numFmtId="301" fontId="18" fillId="33" borderId="7" xfId="0" applyNumberFormat="0" applyAlignment="0" applyProtection="0">
      <alignment vertical="center"/>
    </xf>
    <xf numFmtId="301" fontId="19" fillId="33" borderId="8" xfId="0" applyNumberFormat="0" applyAlignment="0" applyProtection="0">
      <alignment vertical="center"/>
    </xf>
    <xf numFmtId="301" fontId="20" fillId="34" borderId="7" xfId="0" applyNumberFormat="0" applyAlignment="0" applyProtection="0">
      <alignment vertical="center"/>
    </xf>
    <xf numFmtId="301" fontId="21" fillId="8" borderId="4" xfId="0" applyNumberFormat="0" applyFill="0" applyBorder="0" applyAlignment="0" applyProtection="0">
      <alignment vertical="center"/>
    </xf>
    <xf numFmtId="301" fontId="21" fillId="8" borderId="9" xfId="0" applyNumberFormat="0" applyFill="0" applyAlignment="0" applyProtection="0">
      <alignment vertical="center"/>
    </xf>
    <xf numFmtId="301" fontId="22" fillId="8" borderId="10" xfId="0" applyNumberFormat="0" applyFill="0" applyAlignment="0" applyProtection="0">
      <alignment vertical="center"/>
    </xf>
    <xf numFmtId="301" fontId="23" fillId="8" borderId="10" xfId="0" applyNumberFormat="0" applyFill="0" applyAlignment="0" applyProtection="0">
      <alignment vertical="center"/>
    </xf>
    <xf numFmtId="301" fontId="11" fillId="35" borderId="11" xfId="0" applyNumberFormat="0" applyFont="0" applyAlignment="0" applyProtection="0">
      <alignment vertical="center"/>
    </xf>
    <xf numFmtId="301" fontId="24" fillId="8" borderId="4" xfId="0" applyNumberFormat="0" applyFill="0" applyBorder="0" applyAlignment="0" applyProtection="0">
      <alignment vertical="center"/>
    </xf>
    <xf numFmtId="301" fontId="25" fillId="8" borderId="4" xfId="0" applyNumberFormat="0" applyFill="0" applyBorder="0" applyAlignment="0" applyProtection="0">
      <alignment vertical="center"/>
    </xf>
    <xf numFmtId="302" fontId="11" fillId="8" borderId="4" xfId="0" applyFont="0" applyFill="0" applyBorder="0" applyAlignment="0" applyProtection="0">
      <alignment vertical="center"/>
    </xf>
    <xf numFmtId="301" fontId="26" fillId="8" borderId="4" xfId="0" applyNumberFormat="0" applyFill="0" applyBorder="0" applyAlignment="0" applyProtection="0">
      <alignment vertical="center"/>
    </xf>
    <xf numFmtId="303" fontId="11" fillId="8" borderId="4" xfId="0" applyFont="0" applyFill="0" applyBorder="0" applyAlignment="0" applyProtection="0">
      <alignment vertical="center"/>
    </xf>
    <xf numFmtId="301" fontId="27" fillId="8" borderId="4" xfId="0" applyNumberFormat="0" applyFill="0" applyBorder="0" applyAlignment="0" applyProtection="0">
      <alignment vertical="center"/>
    </xf>
    <xf numFmtId="304" fontId="11" fillId="8" borderId="4" xfId="0" applyFont="0" applyFill="0" applyBorder="0" applyAlignment="0" applyProtection="0">
      <alignment vertical="center"/>
    </xf>
    <xf numFmtId="301" fontId="28" fillId="36" borderId="4" xfId="0" applyNumberFormat="0" applyBorder="0" applyAlignment="0" applyProtection="0">
      <alignment vertical="center"/>
    </xf>
    <xf numFmtId="301" fontId="13" fillId="37" borderId="4" xfId="0" applyNumberFormat="0" applyBorder="0" applyAlignment="0" applyProtection="0">
      <alignment vertical="center"/>
    </xf>
    <xf numFmtId="305" fontId="11" fillId="8" borderId="4" xfId="0" applyFont="0" applyFill="0" applyBorder="0" applyAlignment="0" applyProtection="0">
      <alignment vertical="center"/>
    </xf>
    <xf numFmtId="306" fontId="11" fillId="8" borderId="4" xfId="0" applyFont="0" applyFill="0" applyBorder="0" applyAlignment="0" applyProtection="0">
      <alignment vertical="center"/>
    </xf>
    <xf numFmtId="301" fontId="29" fillId="8" borderId="4" xfId="0" applyNumberFormat="0" applyFill="0" applyBorder="0" applyAlignment="0" applyProtection="0">
      <alignment vertical="center"/>
    </xf>
    <xf numFmtId="301" fontId="30" fillId="38" borderId="12" xfId="0" applyNumberFormat="0" applyAlignment="0" applyProtection="0">
      <alignment vertical="center"/>
    </xf>
    <xf numFmtId="301" fontId="13" fillId="39" borderId="4" xf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4" xfId="0" applyFont="1" applyFill="1" applyAlignment="1">
      <alignment horizontal="center" vertical="center"/>
    </xf>
    <xf numFmtId="301" fontId="4" fillId="0" borderId="4" xfId="0" applyFont="1" applyAlignment="1">
      <alignment horizontal="center" vertical="center"/>
    </xf>
    <xf numFmtId="301" fontId="5" fillId="3" borderId="1" xfId="0" applyFont="1" applyFill="1" applyBorder="1" applyAlignment="1">
      <alignment horizontal="center" vertical="center"/>
    </xf>
    <xf numFmtId="300" fontId="5" fillId="3" borderId="1" xfId="0" applyNumberFormat="1" applyFont="1" applyFill="1" applyBorder="1" applyAlignment="1">
      <alignment horizontal="center" vertical="center"/>
    </xf>
    <xf numFmtId="301" fontId="5" fillId="2" borderId="2" xfId="0" applyFont="1" applyFill="1" applyBorder="1" applyAlignment="1">
      <alignment horizontal="center" vertical="center"/>
    </xf>
    <xf numFmtId="301" fontId="6" fillId="0" borderId="3" xfId="0" applyFont="1" applyBorder="1" applyAlignment="1">
      <alignment horizontal="center" vertical="center"/>
    </xf>
    <xf numFmtId="301" fontId="7" fillId="0" borderId="3" xfId="0" applyFont="1" applyBorder="1" applyAlignment="1">
      <alignment horizontal="left" vertical="top" wrapText="1"/>
    </xf>
    <xf numFmtId="301" fontId="6" fillId="0" borderId="3" xfId="0" applyFont="1" applyBorder="1" applyAlignment="1">
      <alignment horizontal="left" vertical="top" wrapText="1"/>
    </xf>
    <xf numFmtId="301" fontId="6" fillId="4" borderId="3" xfId="0" applyFont="1" applyFill="1" applyBorder="1" applyAlignment="1">
      <alignment horizontal="left" vertical="top" wrapText="1"/>
    </xf>
    <xf numFmtId="301" fontId="6" fillId="0" borderId="2" xfId="0" applyFont="1" applyBorder="1" applyAlignment="1">
      <alignment horizontal="center" vertical="center"/>
    </xf>
    <xf numFmtId="301" fontId="7" fillId="0" borderId="2" xfId="0" applyFont="1" applyBorder="1" applyAlignment="1">
      <alignment horizontal="left" vertical="top" wrapText="1"/>
    </xf>
    <xf numFmtId="301" fontId="6" fillId="0" borderId="2" xfId="0" applyFont="1" applyBorder="1" applyAlignment="1">
      <alignment horizontal="left" vertical="top" wrapText="1"/>
    </xf>
    <xf numFmtId="301" fontId="6" fillId="4" borderId="2" xfId="0" applyFont="1" applyFill="1" applyBorder="1" applyAlignment="1">
      <alignment horizontal="left" vertical="top" wrapText="1"/>
    </xf>
    <xf numFmtId="301" fontId="11" fillId="0" borderId="4" xfId="0"/>
    <xf numFmtId="301" fontId="6" fillId="4" borderId="2" xfId="0" applyFont="1" applyFill="1" applyBorder="1" applyAlignment="1">
      <alignment horizontal="center" vertical="center"/>
    </xf>
    <xf numFmtId="301" fontId="7" fillId="0" borderId="2" xfId="0" applyFont="1" applyBorder="1" applyAlignment="1">
      <alignment horizontal="center" vertical="center" wrapText="1"/>
    </xf>
    <xf fontId="8" fillId="5" borderId="0" xfId="0"/>
    <xf fontId="9" fillId="6" borderId="0" xfId="0"/>
    <xf fontId="10" fillId="7" borderId="0" xfId="0"/>
    <xf numFmtId="301" fontId="6" fillId="4" borderId="2" xfId="0" applyFont="1" applyFill="1" applyBorder="1" applyAlignment="1">
      <alignment horizontal="left" vertical="center" wrapText="1"/>
    </xf>
    <xf numFmtId="301" fontId="6" fillId="4" borderId="2" xfId="0" applyFont="1" applyFill="1" applyBorder="1" applyAlignment="1">
      <alignment horizontal="center" vertical="center" wrapText="1"/>
    </xf>
    <xf numFmtId="301" fontId="6" fillId="0" borderId="2" xfId="0" applyFont="1" applyBorder="1" applyAlignment="1">
      <alignment horizontal="center" vertical="center" wrapText="1"/>
    </xf>
    <xf numFmtId="301" fontId="6" fillId="4" borderId="3" xfId="0" applyFont="1" applyFill="1" applyBorder="1" applyAlignment="1">
      <alignment horizontal="left" vertical="center" wrapText="1"/>
    </xf>
  </cellXfs>
  <cellStyles>
    <cellStyle name="常规" xfId="0" builtinId="0"/>
    <cellStyle name="60% - 强调文字颜色 6" xfId="1" builtinId="52"/>
    <cellStyle name="40% - 强调文字颜色 6" xfId="2" builtinId="51"/>
    <cellStyle name="强调文字颜色 6" xfId="3" builtinId="49"/>
    <cellStyle name="60% - 强调文字颜色 5" xfId="4" builtinId="48"/>
    <cellStyle name="20% - 强调文字颜色 5" xfId="5" builtinId="46"/>
    <cellStyle name="强调文字颜色 5" xfId="6" builtinId="45"/>
    <cellStyle name="60% - 强调文字颜色 4" xfId="7" builtinId="44"/>
    <cellStyle name="40% - 强调文字颜色 4" xfId="8" builtinId="43"/>
    <cellStyle name="20% - 强调文字颜色 4" xfId="9" builtinId="42"/>
    <cellStyle name="强调文字颜色 4" xfId="10" builtinId="41"/>
    <cellStyle name="60% - 强调文字颜色 3" xfId="11" builtinId="40"/>
    <cellStyle name="40% - 强调文字颜色 3" xfId="12" builtinId="39"/>
    <cellStyle name="20% - 强调文字颜色 3" xfId="13" builtinId="38"/>
    <cellStyle name="强调文字颜色 3" xfId="14" builtinId="37"/>
    <cellStyle name="60% - 强调文字颜色 2" xfId="15" builtinId="36"/>
    <cellStyle name="40% - 强调文字颜色 2" xfId="16" builtinId="35"/>
    <cellStyle name="20% - 强调文字颜色 2" xfId="17" builtinId="34"/>
    <cellStyle name="强调文字颜色 2" xfId="18" builtinId="33"/>
    <cellStyle name="60% - 强调文字颜色 1" xfId="19" builtinId="32"/>
    <cellStyle name="40% - 强调文字颜色 1" xfId="20" builtinId="31"/>
    <cellStyle name="20% - 强调文字颜色 1" xfId="21" builtinId="30"/>
    <cellStyle name="强调文字颜色 1" xfId="22" builtinId="29"/>
    <cellStyle name="适中" xfId="23" builtinId="28"/>
    <cellStyle name="差" xfId="24" builtinId="27"/>
    <cellStyle name="汇总" xfId="25" builtinId="25"/>
    <cellStyle name="链接单元格" xfId="26" builtinId="24"/>
    <cellStyle name="计算" xfId="27" builtinId="22"/>
    <cellStyle name="输出" xfId="28" builtinId="21"/>
    <cellStyle name="输入" xfId="29" builtinId="20"/>
    <cellStyle name="标题 4" xfId="30" builtinId="19"/>
    <cellStyle name="标题 3" xfId="31" builtinId="18"/>
    <cellStyle name="标题 2" xfId="32" builtinId="17"/>
    <cellStyle name="标题 1" xfId="33" builtinId="16"/>
    <cellStyle name="注释" xfId="34" builtinId="10"/>
    <cellStyle name="已访问的超链接" xfId="35" builtinId="9"/>
    <cellStyle name="超链接" xfId="36" builtinId="8"/>
    <cellStyle name="千位分隔[0]" xfId="37" builtinId="6"/>
    <cellStyle name="解释性文本" xfId="38" builtinId="53"/>
    <cellStyle name="货币[0]" xfId="39" builtinId="7"/>
    <cellStyle name="标题" xfId="40" builtinId="15"/>
    <cellStyle name="货币" xfId="41" builtinId="4"/>
    <cellStyle name="好" xfId="42" builtinId="26"/>
    <cellStyle name="20% - 强调文字颜色 6" xfId="43" builtinId="50"/>
    <cellStyle name="千位分隔" xfId="44" builtinId="3"/>
    <cellStyle name="百分比" xfId="45" builtinId="5"/>
    <cellStyle name="警告文本" xfId="46" builtinId="11"/>
    <cellStyle name="检查单元格" xfId="47" builtinId="23"/>
    <cellStyle name="40% - 强调文字颜色 5" xfId="48" builtinId="47"/>
  </cellStyles>
  <dxfs count="3">
    <dxf>
      <font>
        <name val="宋体"/>
        <color rgb="FF006100"/>
        <sz val="10"/>
        <scheme val="none"/>
      </font>
      <fill>
        <patternFill patternType="solid">
          <bgColor rgb="FFC6EFCE"/>
        </patternFill>
      </fill>
    </dxf>
    <dxf>
      <font>
        <name val="宋体"/>
        <color rgb="FF9C6500"/>
        <sz val="10"/>
        <scheme val="none"/>
      </font>
      <fill>
        <patternFill patternType="solid">
          <bgColor rgb="FFFFEB9C"/>
        </patternFill>
      </fill>
    </dxf>
    <dxf>
      <font>
        <name val="宋体"/>
        <color rgb="FF808080"/>
        <sz val="10"/>
        <scheme val="none"/>
      </font>
      <fill>
        <patternFill patternType="solid">
          <bgColor rgb="FFE7E6E6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pageSetUpPr fitToPage="1"/>
  </sheetPr>
  <dimension ref="F66"/>
  <sheetViews>
    <sheetView showGridLines="0" tabSelected="1" workbookViewId="0">
      <pane ySplit="5" topLeftCell="A6" activePane="bottomLeft" state="frozen"/>
    </sheetView>
  </sheetViews>
  <sheetFormatPr defaultColWidth="9" defaultRowHeight="16.8" outlineLevelCol="5"/>
  <cols>
    <col min="1" max="1" width="6" customWidth="1"/>
    <col min="2" max="2" width="16" customWidth="1"/>
    <col min="3" max="3" width="24" customWidth="1"/>
    <col min="4" max="4" width="40" customWidth="1"/>
    <col min="5" max="5" width="46" customWidth="1"/>
    <col min="6" max="6" width="11" customWidth="1"/>
  </cols>
  <sheetData>
    <row r="1" spans="1:1" ht="30" customHeight="1">
      <c r="A1" s="4" t="s">
        <v>1</v>
      </c>
    </row>
    <row r="2" spans="1:1" ht="20" customHeight="1">
      <c r="A2" s="5" t="s">
        <v>2</v>
      </c>
    </row>
    <row r="3" spans="1:6" ht="22" customHeight="1">
      <c r="A3" s="6" t="s">
        <v>3</v>
      </c>
      <c r="B3" s="7">
        <f t="array" ref="B3">=IF(OR(COUNTA($C$6:$C$66)=0,COUNTA($C$6:$C$66)-COUNTIF($F$6:$F$66,"不适用")=0),"",COUNTIF($F$6:$F$66,"已确认")/(COUNTA($C$6:$C$66)-COUNTIF($F$6:$F$66,"不适用")))</f>
        <v>0.344827586206897</v>
      </c>
      <c r="C3" s="6" t="s">
        <v>4</v>
      </c>
      <c r="D3" s="6" t="str">
        <f>=COUNTIF($F$6:$F$66,"已确认")&amp;" / "&amp;(COUNTA($C$6:$C$66)-COUNTIF($F$6:$F$66,"不适用"))</f>
        <v>20 / 58</v>
      </c>
      <c r="E3" s="6" t="s">
        <v>6</v>
      </c>
      <c r="F3" s="6">
        <f>=COUNTIF($F$6:$F$66,"待填写")</f>
        <v>38</v>
      </c>
    </row>
    <row r="5" spans="1:6" ht="24" customHeight="1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</row>
    <row r="6" spans="1:6">
      <c r="A6" s="9">
        <v>1</v>
      </c>
      <c r="B6" s="10" t="s">
        <v>13</v>
      </c>
      <c r="C6" s="11" t="s">
        <v>14</v>
      </c>
      <c r="D6" s="12" t="s"/>
      <c r="E6" s="11" t="s">
        <v>15</v>
      </c>
      <c r="F6" s="9" t="s">
        <v>6</v>
      </c>
    </row>
    <row r="7" spans="1:6" ht="32">
      <c r="A7" s="13">
        <v>2</v>
      </c>
      <c r="B7" s="14" t="s">
        <v>13</v>
      </c>
      <c r="C7" s="15" t="s">
        <v>16</v>
      </c>
      <c r="D7" s="16" t="s">
        <v>17</v>
      </c>
      <c r="E7" s="15" t="s">
        <v>18</v>
      </c>
      <c r="F7" s="13" t="s">
        <v>19</v>
      </c>
    </row>
    <row r="8" spans="1:6" ht="32">
      <c r="A8" s="13">
        <v>3</v>
      </c>
      <c r="B8" s="14" t="s">
        <v>13</v>
      </c>
      <c r="C8" s="15" t="s">
        <v>20</v>
      </c>
      <c r="D8" s="16" t="s">
        <v>21</v>
      </c>
      <c r="E8" s="15" t="s">
        <v>22</v>
      </c>
      <c r="F8" s="13" t="s">
        <v>19</v>
      </c>
    </row>
    <row r="9" spans="1:6">
      <c r="A9" s="13">
        <v>4</v>
      </c>
      <c r="B9" s="14" t="s">
        <v>13</v>
      </c>
      <c r="C9" s="15" t="s">
        <v>23</v>
      </c>
      <c r="D9" s="16">
        <v>2003</v>
      </c>
      <c r="E9" s="15" t="s">
        <v>24</v>
      </c>
      <c r="F9" s="13" t="s">
        <v>6</v>
      </c>
    </row>
    <row r="10" spans="1:6">
      <c r="A10" s="13">
        <v>5</v>
      </c>
      <c r="B10" s="14" t="s">
        <v>13</v>
      </c>
      <c r="C10" s="15" t="s">
        <v>25</v>
      </c>
      <c r="D10" s="16" t="s">
        <v>26</v>
      </c>
      <c r="E10" s="15" t="s">
        <v>27</v>
      </c>
      <c r="F10" s="13" t="s">
        <v>6</v>
      </c>
    </row>
    <row r="11" spans="1:6">
      <c r="A11" s="13">
        <v>6</v>
      </c>
      <c r="B11" s="14" t="s">
        <v>13</v>
      </c>
      <c r="C11" s="15" t="s">
        <v>28</v>
      </c>
      <c r="D11" s="16" t="s">
        <v>29</v>
      </c>
      <c r="E11" s="15" t="s">
        <v>30</v>
      </c>
      <c r="F11" s="13" t="s">
        <v>6</v>
      </c>
    </row>
    <row r="12" spans="1:6" ht="47">
      <c r="A12" s="13">
        <v>7</v>
      </c>
      <c r="B12" s="14" t="s">
        <v>13</v>
      </c>
      <c r="C12" s="15" t="s">
        <v>31</v>
      </c>
      <c r="D12" s="16" t="s">
        <v>32</v>
      </c>
      <c r="E12" s="15" t="s">
        <v>33</v>
      </c>
      <c r="F12" s="13" t="s">
        <v>6</v>
      </c>
    </row>
    <row r="13" spans="1:6">
      <c r="A13" s="13">
        <v>8</v>
      </c>
      <c r="B13" s="14" t="s">
        <v>13</v>
      </c>
      <c r="C13" s="15" t="s">
        <v>34</v>
      </c>
      <c r="D13" s="16" t="s">
        <v>35</v>
      </c>
      <c r="E13" s="15" t="s">
        <v>36</v>
      </c>
      <c r="F13" s="13" t="s">
        <v>6</v>
      </c>
    </row>
    <row r="14" spans="1:6">
      <c r="A14" s="13">
        <v>9</v>
      </c>
      <c r="B14" s="14" t="s">
        <v>13</v>
      </c>
      <c r="C14" s="15" t="s">
        <v>37</v>
      </c>
      <c r="D14" s="16" t="s">
        <v>38</v>
      </c>
      <c r="E14" s="15" t="s">
        <v>39</v>
      </c>
      <c r="F14" s="13" t="s">
        <v>6</v>
      </c>
    </row>
    <row r="15" spans="1:6">
      <c r="A15" s="13">
        <v>10</v>
      </c>
      <c r="B15" s="14" t="s">
        <v>13</v>
      </c>
      <c r="C15" s="15" t="s">
        <v>40</v>
      </c>
      <c r="D15" s="16" t="s">
        <v>41</v>
      </c>
      <c r="E15" s="15" t="s">
        <v>42</v>
      </c>
      <c r="F15" s="13" t="s">
        <v>6</v>
      </c>
    </row>
    <row r="16" spans="1:6" ht="32">
      <c r="A16" s="13">
        <v>11</v>
      </c>
      <c r="B16" s="14" t="s">
        <v>13</v>
      </c>
      <c r="C16" s="15" t="s">
        <v>43</v>
      </c>
      <c r="D16" s="17" t="s">
        <v>44</v>
      </c>
      <c r="E16" s="15" t="s">
        <v>45</v>
      </c>
      <c r="F16" s="13" t="s">
        <v>6</v>
      </c>
    </row>
    <row r="17" spans="1:6" ht="32">
      <c r="A17" s="13">
        <v>12</v>
      </c>
      <c r="B17" s="14" t="s">
        <v>13</v>
      </c>
      <c r="C17" s="15" t="s">
        <v>46</v>
      </c>
      <c r="D17" s="16" t="s">
        <v>47</v>
      </c>
      <c r="E17" s="15" t="s">
        <v>48</v>
      </c>
      <c r="F17" s="13" t="s">
        <v>6</v>
      </c>
    </row>
    <row r="18" spans="1:6">
      <c r="A18" s="13">
        <v>13</v>
      </c>
      <c r="B18" s="14" t="s">
        <v>13</v>
      </c>
      <c r="C18" s="15" t="s">
        <v>49</v>
      </c>
      <c r="D18" s="16" t="s">
        <v>50</v>
      </c>
      <c r="E18" s="15" t="s">
        <v>51</v>
      </c>
      <c r="F18" s="13" t="s">
        <v>19</v>
      </c>
    </row>
    <row r="19" spans="1:6">
      <c r="A19" s="13">
        <v>14</v>
      </c>
      <c r="B19" s="14" t="s">
        <v>13</v>
      </c>
      <c r="C19" s="15" t="s">
        <v>52</v>
      </c>
      <c r="D19" s="16" t="s">
        <v>17</v>
      </c>
      <c r="E19" s="15" t="s">
        <v>53</v>
      </c>
      <c r="F19" s="13" t="s">
        <v>19</v>
      </c>
    </row>
    <row r="20" spans="1:6">
      <c r="A20" s="13">
        <v>15</v>
      </c>
      <c r="B20" s="14" t="s">
        <v>13</v>
      </c>
      <c r="C20" s="15" t="s">
        <v>54</v>
      </c>
      <c r="D20" s="16" t="s">
        <v>55</v>
      </c>
      <c r="E20" s="15" t="s">
        <v>56</v>
      </c>
      <c r="F20" s="13" t="s">
        <v>19</v>
      </c>
    </row>
    <row r="21" spans="1:6">
      <c r="A21" s="13">
        <v>16</v>
      </c>
      <c r="B21" s="14" t="s">
        <v>13</v>
      </c>
      <c r="C21" s="15" t="s">
        <v>57</v>
      </c>
      <c r="D21" s="16" t="s">
        <v>50</v>
      </c>
      <c r="E21" s="15" t="s">
        <v>56</v>
      </c>
      <c r="F21" s="13" t="s">
        <v>19</v>
      </c>
    </row>
    <row r="22" spans="1:6" ht="32.75">
      <c r="A22" s="13">
        <v>17</v>
      </c>
      <c r="B22" s="14" t="s">
        <v>13</v>
      </c>
      <c r="C22" s="15" t="s">
        <v>58</v>
      </c>
      <c r="D22" s="16" t="s">
        <v>59</v>
      </c>
      <c r="E22" s="15" t="s">
        <v>60</v>
      </c>
      <c r="F22" s="13" t="s">
        <v>19</v>
      </c>
    </row>
    <row r="23" spans="1:6">
      <c r="A23" s="9">
        <v>18</v>
      </c>
      <c r="B23" s="10" t="s">
        <v>61</v>
      </c>
      <c r="C23" s="11" t="s">
        <v>62</v>
      </c>
      <c r="D23" s="12" t="s">
        <v>63</v>
      </c>
      <c r="E23" s="11" t="s">
        <v>64</v>
      </c>
      <c r="F23" s="9" t="s">
        <v>19</v>
      </c>
    </row>
    <row r="24" spans="1:6">
      <c r="A24" s="13">
        <v>19</v>
      </c>
      <c r="B24" s="14" t="s">
        <v>61</v>
      </c>
      <c r="C24" s="15" t="s">
        <v>65</v>
      </c>
      <c r="D24" s="16" t="s">
        <v>66</v>
      </c>
      <c r="E24" s="15" t="s">
        <v>67</v>
      </c>
      <c r="F24" s="13" t="s">
        <v>19</v>
      </c>
    </row>
    <row r="25" spans="1:6" ht="47">
      <c r="A25" s="13">
        <v>20</v>
      </c>
      <c r="B25" s="14" t="s">
        <v>61</v>
      </c>
      <c r="C25" s="15" t="s">
        <v>68</v>
      </c>
      <c r="D25" s="16" t="s">
        <v>69</v>
      </c>
      <c r="E25" s="15" t="s">
        <v>70</v>
      </c>
      <c r="F25" s="13" t="s">
        <v>19</v>
      </c>
    </row>
    <row r="26" spans="1:6">
      <c r="A26" s="13">
        <v>21</v>
      </c>
      <c r="B26" s="14" t="s">
        <v>61</v>
      </c>
      <c r="C26" s="15" t="s">
        <v>71</v>
      </c>
      <c r="D26" s="16" t="s">
        <v>38</v>
      </c>
      <c r="E26" s="15" t="s">
        <v>72</v>
      </c>
      <c r="F26" s="13" t="s">
        <v>6</v>
      </c>
    </row>
    <row r="27" spans="1:6" ht="17.55">
      <c r="A27" s="13">
        <v>22</v>
      </c>
      <c r="B27" s="14" t="s">
        <v>61</v>
      </c>
      <c r="C27" s="15" t="s">
        <v>73</v>
      </c>
      <c r="D27" s="16" t="s">
        <v>41</v>
      </c>
      <c r="E27" s="15" t="s">
        <v>74</v>
      </c>
      <c r="F27" s="13" t="s">
        <v>75</v>
      </c>
    </row>
    <row r="28" spans="1:6" ht="32">
      <c r="A28" s="9">
        <v>23</v>
      </c>
      <c r="B28" s="10" t="s">
        <v>76</v>
      </c>
      <c r="C28" s="11" t="s">
        <v>77</v>
      </c>
      <c r="D28" s="12" t="s">
        <v>78</v>
      </c>
      <c r="E28" s="11" t="s">
        <v>79</v>
      </c>
      <c r="F28" s="9" t="s">
        <v>19</v>
      </c>
    </row>
    <row r="29" spans="1:6">
      <c r="A29" s="13">
        <v>24</v>
      </c>
      <c r="B29" s="14" t="s">
        <v>76</v>
      </c>
      <c r="C29" s="15" t="s">
        <v>80</v>
      </c>
      <c r="D29" s="16" t="s"/>
      <c r="E29" s="15" t="s">
        <v>81</v>
      </c>
      <c r="F29" s="13" t="s">
        <v>6</v>
      </c>
    </row>
    <row r="30" spans="1:6" ht="47">
      <c r="A30" s="13">
        <v>25</v>
      </c>
      <c r="B30" s="14" t="s">
        <v>76</v>
      </c>
      <c r="C30" s="15" t="s">
        <v>82</v>
      </c>
      <c r="D30" s="16" t="s">
        <v>83</v>
      </c>
      <c r="E30" s="15" t="s">
        <v>84</v>
      </c>
      <c r="F30" s="13" t="s">
        <v>19</v>
      </c>
    </row>
    <row r="31" spans="1:6" ht="32">
      <c r="A31" s="13">
        <v>26</v>
      </c>
      <c r="B31" s="14" t="s">
        <v>76</v>
      </c>
      <c r="C31" s="15" t="s">
        <v>85</v>
      </c>
      <c r="D31" s="16" t="s">
        <v>86</v>
      </c>
      <c r="E31" s="15" t="s">
        <v>87</v>
      </c>
      <c r="F31" s="13" t="s">
        <v>6</v>
      </c>
    </row>
    <row r="32" spans="1:6">
      <c r="A32" s="13">
        <v>27</v>
      </c>
      <c r="B32" s="14" t="s">
        <v>76</v>
      </c>
      <c r="C32" s="15" t="s">
        <v>88</v>
      </c>
      <c r="D32" s="16" t="s">
        <v>89</v>
      </c>
      <c r="E32" s="15" t="s">
        <v>90</v>
      </c>
      <c r="F32" s="13" t="s">
        <v>19</v>
      </c>
    </row>
    <row r="33" spans="1:6" ht="32">
      <c r="A33" s="13">
        <v>28</v>
      </c>
      <c r="B33" s="14" t="s">
        <v>76</v>
      </c>
      <c r="C33" s="15" t="s">
        <v>91</v>
      </c>
      <c r="D33" s="16" t="s">
        <v>92</v>
      </c>
      <c r="E33" s="15" t="s">
        <v>93</v>
      </c>
      <c r="F33" s="13" t="s">
        <v>6</v>
      </c>
    </row>
    <row r="34" spans="1:6" ht="32">
      <c r="A34" s="13">
        <v>29</v>
      </c>
      <c r="B34" s="14" t="s">
        <v>76</v>
      </c>
      <c r="C34" s="15" t="s">
        <v>94</v>
      </c>
      <c r="D34" s="17" t="s">
        <v>95</v>
      </c>
      <c r="E34" s="15" t="s">
        <v>96</v>
      </c>
      <c r="F34" s="13" t="s">
        <v>6</v>
      </c>
    </row>
    <row r="35" spans="1:6">
      <c r="A35" s="13">
        <v>30</v>
      </c>
      <c r="B35" s="14" t="s">
        <v>76</v>
      </c>
      <c r="C35" s="15" t="s">
        <v>97</v>
      </c>
      <c r="D35" s="16" t="s">
        <v>98</v>
      </c>
      <c r="E35" s="15" t="s">
        <v>99</v>
      </c>
      <c r="F35" s="13" t="s">
        <v>6</v>
      </c>
    </row>
    <row r="36" spans="1:6">
      <c r="A36" s="13">
        <v>31</v>
      </c>
      <c r="B36" s="14" t="s">
        <v>76</v>
      </c>
      <c r="C36" s="15" t="s">
        <v>100</v>
      </c>
      <c r="D36" s="16" t="s"/>
      <c r="E36" s="15" t="s">
        <v>101</v>
      </c>
      <c r="F36" s="13" t="s">
        <v>75</v>
      </c>
    </row>
    <row r="37" spans="1:6" ht="17.55">
      <c r="A37" s="13">
        <v>32</v>
      </c>
      <c r="B37" s="14" t="s">
        <v>76</v>
      </c>
      <c r="C37" s="15" t="s">
        <v>102</v>
      </c>
      <c r="D37" s="16" t="s">
        <v>103</v>
      </c>
      <c r="E37" s="15" t="s">
        <v>104</v>
      </c>
      <c r="F37" s="13" t="s">
        <v>19</v>
      </c>
    </row>
    <row r="38" spans="1:6">
      <c r="A38" s="9">
        <v>33</v>
      </c>
      <c r="B38" s="10" t="s">
        <v>105</v>
      </c>
      <c r="C38" s="11" t="s">
        <v>106</v>
      </c>
      <c r="D38" s="12" t="s">
        <v>38</v>
      </c>
      <c r="E38" s="11" t="s">
        <v>107</v>
      </c>
      <c r="F38" s="9" t="s">
        <v>6</v>
      </c>
    </row>
    <row r="39" spans="1:6" ht="32">
      <c r="A39" s="13">
        <v>34</v>
      </c>
      <c r="B39" s="14" t="s">
        <v>105</v>
      </c>
      <c r="C39" s="15" t="s">
        <v>108</v>
      </c>
      <c r="D39" s="16" t="s"/>
      <c r="E39" s="15" t="s">
        <v>109</v>
      </c>
      <c r="F39" s="13" t="s">
        <v>6</v>
      </c>
    </row>
    <row r="40" spans="1:6">
      <c r="A40" s="13">
        <v>35</v>
      </c>
      <c r="B40" s="14" t="s">
        <v>105</v>
      </c>
      <c r="C40" s="15" t="s">
        <v>110</v>
      </c>
      <c r="D40" s="16" t="s"/>
      <c r="E40" s="15" t="s">
        <v>111</v>
      </c>
      <c r="F40" s="13" t="s">
        <v>6</v>
      </c>
    </row>
    <row r="41" spans="1:6">
      <c r="A41" s="13">
        <v>36</v>
      </c>
      <c r="B41" s="14" t="s">
        <v>105</v>
      </c>
      <c r="C41" s="15" t="s">
        <v>112</v>
      </c>
      <c r="D41" s="16" t="s"/>
      <c r="E41" s="15" t="s">
        <v>56</v>
      </c>
      <c r="F41" s="13" t="s">
        <v>6</v>
      </c>
    </row>
    <row r="42" spans="1:6">
      <c r="A42" s="13">
        <v>37</v>
      </c>
      <c r="B42" s="14" t="s">
        <v>105</v>
      </c>
      <c r="C42" s="15" t="s">
        <v>113</v>
      </c>
      <c r="D42" s="16" t="s"/>
      <c r="E42" s="15" t="s">
        <v>56</v>
      </c>
      <c r="F42" s="13" t="s">
        <v>6</v>
      </c>
    </row>
    <row r="43" spans="1:6">
      <c r="A43" s="13">
        <v>38</v>
      </c>
      <c r="B43" s="14" t="s">
        <v>105</v>
      </c>
      <c r="C43" s="15" t="s">
        <v>114</v>
      </c>
      <c r="D43" s="16" t="s"/>
      <c r="E43" s="15" t="s">
        <v>115</v>
      </c>
      <c r="F43" s="13" t="s">
        <v>6</v>
      </c>
    </row>
    <row r="44" spans="1:6">
      <c r="A44" s="13">
        <v>39</v>
      </c>
      <c r="B44" s="14" t="s">
        <v>105</v>
      </c>
      <c r="C44" s="15" t="s">
        <v>116</v>
      </c>
      <c r="D44" s="16" t="s"/>
      <c r="E44" s="15" t="s">
        <v>56</v>
      </c>
      <c r="F44" s="13" t="s">
        <v>6</v>
      </c>
    </row>
    <row r="45" spans="1:6">
      <c r="A45" s="13">
        <v>40</v>
      </c>
      <c r="B45" s="14" t="s">
        <v>105</v>
      </c>
      <c r="C45" s="15" t="s">
        <v>117</v>
      </c>
      <c r="D45" s="16" t="s"/>
      <c r="E45" s="15" t="s">
        <v>56</v>
      </c>
      <c r="F45" s="13" t="s">
        <v>6</v>
      </c>
    </row>
    <row r="46" spans="1:6" ht="32">
      <c r="A46" s="13">
        <v>41</v>
      </c>
      <c r="B46" s="14" t="s">
        <v>105</v>
      </c>
      <c r="C46" s="15" t="s">
        <v>118</v>
      </c>
      <c r="D46" s="16" t="s"/>
      <c r="E46" s="15" t="s">
        <v>119</v>
      </c>
      <c r="F46" s="13" t="s">
        <v>6</v>
      </c>
    </row>
    <row r="47" spans="1:6">
      <c r="A47" s="13">
        <v>42</v>
      </c>
      <c r="B47" s="14" t="s">
        <v>105</v>
      </c>
      <c r="C47" s="15" t="s">
        <v>120</v>
      </c>
      <c r="D47" s="16" t="s"/>
      <c r="E47" s="15" t="s">
        <v>56</v>
      </c>
      <c r="F47" s="13" t="s">
        <v>6</v>
      </c>
    </row>
    <row r="48" spans="1:6" ht="17.55">
      <c r="A48" s="13">
        <v>43</v>
      </c>
      <c r="B48" s="14" t="s">
        <v>105</v>
      </c>
      <c r="C48" s="15" t="s">
        <v>121</v>
      </c>
      <c r="D48" s="16" t="s"/>
      <c r="E48" s="15" t="s">
        <v>122</v>
      </c>
      <c r="F48" s="13" t="s">
        <v>6</v>
      </c>
    </row>
    <row r="49" spans="1:6">
      <c r="A49" s="9">
        <v>44</v>
      </c>
      <c r="B49" s="10" t="s">
        <v>123</v>
      </c>
      <c r="C49" s="11" t="s">
        <v>124</v>
      </c>
      <c r="D49" s="26" t="s">
        <v>231</v>
      </c>
      <c r="E49" s="11" t="s">
        <v>125</v>
      </c>
      <c r="F49" s="9" t="s">
        <v>19</v>
      </c>
    </row>
    <row r="50" spans="1:6">
      <c r="A50" s="13">
        <v>45</v>
      </c>
      <c r="B50" s="14" t="s">
        <v>123</v>
      </c>
      <c r="C50" s="15" t="s">
        <v>126</v>
      </c>
      <c r="D50" s="23" t="s">
        <v>232</v>
      </c>
      <c r="E50" s="15" t="s">
        <v>125</v>
      </c>
      <c r="F50" s="13" t="s">
        <v>19</v>
      </c>
    </row>
    <row r="51" spans="1:6">
      <c r="A51" s="13">
        <v>46</v>
      </c>
      <c r="B51" s="14" t="s">
        <v>123</v>
      </c>
      <c r="C51" s="15" t="s">
        <v>127</v>
      </c>
      <c r="D51" s="23" t="s">
        <v>233</v>
      </c>
      <c r="E51" s="15" t="s">
        <v>125</v>
      </c>
      <c r="F51" s="13" t="s">
        <v>19</v>
      </c>
    </row>
    <row r="52" spans="1:6">
      <c r="A52" s="13">
        <v>47</v>
      </c>
      <c r="B52" s="14" t="s">
        <v>123</v>
      </c>
      <c r="C52" s="15" t="s">
        <v>128</v>
      </c>
      <c r="D52" s="23" t="s">
        <v>234</v>
      </c>
      <c r="E52" s="15" t="s">
        <v>125</v>
      </c>
      <c r="F52" s="13" t="s">
        <v>19</v>
      </c>
    </row>
    <row r="53" spans="1:6" ht="32">
      <c r="A53" s="13">
        <v>48</v>
      </c>
      <c r="B53" s="14" t="s">
        <v>123</v>
      </c>
      <c r="C53" s="15" t="s">
        <v>129</v>
      </c>
      <c r="D53" s="23" t="s">
        <v>235</v>
      </c>
      <c r="E53" s="15" t="s">
        <v>130</v>
      </c>
      <c r="F53" s="13" t="s">
        <v>19</v>
      </c>
    </row>
    <row r="54" spans="1:6">
      <c r="A54" s="13">
        <v>49</v>
      </c>
      <c r="B54" s="14" t="s">
        <v>123</v>
      </c>
      <c r="C54" s="15" t="s">
        <v>131</v>
      </c>
      <c r="D54" s="16" t="s">
        <v>132</v>
      </c>
      <c r="E54" s="15" t="s">
        <v>133</v>
      </c>
      <c r="F54" s="13" t="s">
        <v>19</v>
      </c>
    </row>
    <row r="55" spans="1:6">
      <c r="A55" s="13">
        <v>50</v>
      </c>
      <c r="B55" s="14" t="s">
        <v>123</v>
      </c>
      <c r="C55" s="15" t="s">
        <v>134</v>
      </c>
      <c r="D55" s="23" t="s">
        <v>236</v>
      </c>
      <c r="E55" s="15" t="s">
        <v>135</v>
      </c>
      <c r="F55" s="13" t="s">
        <v>6</v>
      </c>
    </row>
    <row r="56" spans="1:6" ht="32">
      <c r="A56" s="9">
        <v>51</v>
      </c>
      <c r="B56" s="10" t="s">
        <v>136</v>
      </c>
      <c r="C56" s="11" t="s">
        <v>137</v>
      </c>
      <c r="D56" s="12" t="s">
        <v>138</v>
      </c>
      <c r="E56" s="11" t="s">
        <v>139</v>
      </c>
      <c r="F56" s="9" t="s">
        <v>6</v>
      </c>
    </row>
    <row r="57" spans="1:6">
      <c r="A57" s="13">
        <v>52</v>
      </c>
      <c r="B57" s="14" t="s">
        <v>136</v>
      </c>
      <c r="C57" s="15" t="s">
        <v>140</v>
      </c>
      <c r="D57" s="16" t="s">
        <v>138</v>
      </c>
      <c r="E57" s="15" t="s">
        <v>141</v>
      </c>
      <c r="F57" s="13" t="s">
        <v>6</v>
      </c>
    </row>
    <row r="58" spans="1:6">
      <c r="A58" s="13">
        <v>53</v>
      </c>
      <c r="B58" s="14" t="s">
        <v>136</v>
      </c>
      <c r="C58" s="15" t="s">
        <v>142</v>
      </c>
      <c r="D58" s="16" t="s">
        <v>138</v>
      </c>
      <c r="E58" s="15" t="s">
        <v>143</v>
      </c>
      <c r="F58" s="13" t="s">
        <v>6</v>
      </c>
    </row>
    <row r="59" spans="1:6" ht="32">
      <c r="A59" s="13">
        <v>54</v>
      </c>
      <c r="B59" s="14" t="s">
        <v>136</v>
      </c>
      <c r="C59" s="15" t="s">
        <v>144</v>
      </c>
      <c r="D59" s="16" t="s">
        <v>138</v>
      </c>
      <c r="E59" s="15" t="s">
        <v>145</v>
      </c>
      <c r="F59" s="13" t="s">
        <v>6</v>
      </c>
    </row>
    <row r="60" spans="1:6">
      <c r="A60" s="13">
        <v>55</v>
      </c>
      <c r="B60" s="14" t="s">
        <v>136</v>
      </c>
      <c r="C60" s="15" t="s">
        <v>146</v>
      </c>
      <c r="D60" s="16" t="s">
        <v>138</v>
      </c>
      <c r="E60" s="15" t="s">
        <v>147</v>
      </c>
      <c r="F60" s="13" t="s">
        <v>6</v>
      </c>
    </row>
    <row r="61" spans="1:6">
      <c r="A61" s="13">
        <v>56</v>
      </c>
      <c r="B61" s="14" t="s">
        <v>136</v>
      </c>
      <c r="C61" s="15" t="s">
        <v>148</v>
      </c>
      <c r="D61" s="16" t="s">
        <v>138</v>
      </c>
      <c r="E61" s="15" t="s">
        <v>149</v>
      </c>
      <c r="F61" s="13" t="s">
        <v>6</v>
      </c>
    </row>
    <row r="62" spans="1:6">
      <c r="A62" s="13">
        <v>57</v>
      </c>
      <c r="B62" s="14" t="s">
        <v>136</v>
      </c>
      <c r="C62" s="15" t="s">
        <v>150</v>
      </c>
      <c r="D62" s="16" t="s">
        <v>138</v>
      </c>
      <c r="E62" s="15" t="s">
        <v>151</v>
      </c>
      <c r="F62" s="13" t="s">
        <v>6</v>
      </c>
    </row>
    <row r="63" spans="1:6" ht="32">
      <c r="A63" s="13">
        <v>58</v>
      </c>
      <c r="B63" s="14" t="s">
        <v>136</v>
      </c>
      <c r="C63" s="15" t="s">
        <v>152</v>
      </c>
      <c r="D63" s="16" t="s">
        <v>138</v>
      </c>
      <c r="E63" s="15" t="s">
        <v>153</v>
      </c>
      <c r="F63" s="13" t="s">
        <v>6</v>
      </c>
    </row>
    <row r="64" spans="1:6" ht="32">
      <c r="A64" s="13">
        <v>59</v>
      </c>
      <c r="B64" s="14" t="s">
        <v>136</v>
      </c>
      <c r="C64" s="15" t="s">
        <v>154</v>
      </c>
      <c r="D64" s="16" t="s">
        <v>138</v>
      </c>
      <c r="E64" s="15" t="s">
        <v>153</v>
      </c>
      <c r="F64" s="13" t="s">
        <v>6</v>
      </c>
    </row>
    <row r="65" spans="1:6" ht="32">
      <c r="A65" s="13">
        <v>60</v>
      </c>
      <c r="B65" s="14" t="s">
        <v>136</v>
      </c>
      <c r="C65" s="15" t="s">
        <v>155</v>
      </c>
      <c r="D65" s="16" t="s">
        <v>138</v>
      </c>
      <c r="E65" s="15" t="s">
        <v>156</v>
      </c>
      <c r="F65" s="13" t="s">
        <v>6</v>
      </c>
    </row>
    <row r="66" spans="1:6">
      <c r="A66" s="13">
        <v>61</v>
      </c>
      <c r="B66" s="14" t="s">
        <v>136</v>
      </c>
      <c r="C66" s="15" t="s">
        <v>157</v>
      </c>
      <c r="D66" s="16" t="s">
        <v>75</v>
      </c>
      <c r="E66" s="15" t="s">
        <v>158</v>
      </c>
      <c r="F66" s="13" t="s">
        <v>75</v>
      </c>
    </row>
  </sheetData>
  <autoFilter ref="A5:F66">
    <extLst/>
  </autoFilter>
  <mergeCells count="2">
    <mergeCell ref="A1:F1"/>
    <mergeCell ref="A2:F2"/>
  </mergeCells>
  <conditionalFormatting sqref="F6:F66">
    <cfRule type="cellIs" dxfId="0" priority="1" operator="equal">
      <formula>"已确认"</formula>
      <formula>"已确认"</formula>
    </cfRule>
  </conditionalFormatting>
  <conditionalFormatting sqref="F6:F66">
    <cfRule type="cellIs" dxfId="1" priority="2" operator="equal">
      <formula>"待填写"</formula>
      <formula>"待填写"</formula>
    </cfRule>
  </conditionalFormatting>
  <conditionalFormatting sqref="F6:F66">
    <cfRule type="cellIs" dxfId="2" priority="3" operator="equal">
      <formula>"不适用"</formula>
      <formula>"不适用"</formula>
    </cfRule>
  </conditionalFormatting>
  <dataValidations>
    <dataValidation type="list" operator="between" allowBlank="1" errorTitle="状态取值不合法" error="请从下拉中选择：待填写 / 已确认 / 不适用" sqref="F6:F66">
      <formula1>"待填写,已确认,不适用"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>
  <sheetPr>
    <pageSetUpPr fitToPage="1"/>
  </sheetPr>
  <dimension ref="N6"/>
  <sheetViews>
    <sheetView showGridLines="0" workbookViewId="0">
      <pane ySplit="1" topLeftCell="A2" activePane="bottomLeft" state="frozen"/>
    </sheetView>
  </sheetViews>
  <sheetFormatPr defaultColWidth="9" defaultRowHeight="16.8" outlineLevelRow="5"/>
  <cols>
    <col min="1" max="1" width="6" customWidth="1"/>
    <col min="2" max="2" width="12" customWidth="1"/>
    <col min="3" max="3" width="20" customWidth="1"/>
    <col min="4" max="4" width="9" customWidth="1"/>
    <col min="5" max="5" width="7" customWidth="1"/>
    <col min="6" max="7" width="16" customWidth="1"/>
    <col min="8" max="8" width="14" customWidth="1"/>
    <col min="9" max="10" width="12" customWidth="1"/>
    <col min="11" max="11" width="34" customWidth="1"/>
    <col min="12" max="12" width="12" customWidth="1"/>
    <col min="13" max="13" width="10" customWidth="1"/>
    <col min="14" max="14" width="40" customWidth="1"/>
  </cols>
  <sheetData>
    <row r="1" spans="1:14" ht="30" customHeight="1">
      <c r="A1" s="8" t="s">
        <v>7</v>
      </c>
      <c r="B1" s="8" t="s">
        <v>159</v>
      </c>
      <c r="C1" s="8" t="s">
        <v>160</v>
      </c>
      <c r="D1" s="8" t="s">
        <v>23</v>
      </c>
      <c r="E1" s="8" t="s">
        <v>25</v>
      </c>
      <c r="F1" s="8" t="s">
        <v>161</v>
      </c>
      <c r="G1" s="8" t="s">
        <v>162</v>
      </c>
      <c r="H1" s="8" t="s">
        <v>34</v>
      </c>
      <c r="I1" s="8" t="s">
        <v>163</v>
      </c>
      <c r="J1" s="8" t="s">
        <v>164</v>
      </c>
      <c r="K1" s="8" t="s">
        <v>43</v>
      </c>
      <c r="L1" s="8" t="s">
        <v>165</v>
      </c>
      <c r="M1" s="8" t="s">
        <v>166</v>
      </c>
      <c r="N1" s="8" t="s">
        <v>46</v>
      </c>
    </row>
    <row r="2" spans="1:14">
      <c r="A2" s="13">
        <v>1</v>
      </c>
      <c r="B2" s="16" t="s"/>
      <c r="C2" s="16" t="s"/>
      <c r="D2" s="18" t="s"/>
      <c r="E2" s="18" t="s"/>
      <c r="F2" s="16" t="s"/>
      <c r="G2" s="16" t="s"/>
      <c r="H2" s="16" t="s"/>
      <c r="I2" s="18" t="s"/>
      <c r="J2" s="16" t="s"/>
      <c r="K2" s="16" t="s"/>
      <c r="L2" s="18" t="s"/>
      <c r="M2" s="18" t="s"/>
      <c r="N2" s="16" t="s"/>
    </row>
    <row r="3" spans="1:14">
      <c r="A3" s="13">
        <v>2</v>
      </c>
      <c r="B3" s="16" t="s"/>
      <c r="C3" s="16" t="s"/>
      <c r="D3" s="18" t="s"/>
      <c r="E3" s="18" t="s"/>
      <c r="F3" s="16" t="s"/>
      <c r="G3" s="16" t="s"/>
      <c r="H3" s="16" t="s"/>
      <c r="I3" s="18" t="s"/>
      <c r="J3" s="16" t="s"/>
      <c r="K3" s="16" t="s"/>
      <c r="L3" s="18" t="s"/>
      <c r="M3" s="18" t="s"/>
      <c r="N3" s="16" t="s"/>
    </row>
    <row r="4" spans="1:14">
      <c r="A4" s="13">
        <v>3</v>
      </c>
      <c r="B4" s="16" t="s"/>
      <c r="C4" s="16" t="s"/>
      <c r="D4" s="18" t="s"/>
      <c r="E4" s="18" t="s"/>
      <c r="F4" s="16" t="s"/>
      <c r="G4" s="16" t="s"/>
      <c r="H4" s="16" t="s"/>
      <c r="I4" s="18" t="s"/>
      <c r="J4" s="16" t="s"/>
      <c r="K4" s="16" t="s"/>
      <c r="L4" s="18" t="s"/>
      <c r="M4" s="18" t="s"/>
      <c r="N4" s="16" t="s"/>
    </row>
    <row r="5" spans="1:14">
      <c r="A5" s="13">
        <v>4</v>
      </c>
      <c r="B5" s="16" t="s"/>
      <c r="C5" s="16" t="s"/>
      <c r="D5" s="18" t="s"/>
      <c r="E5" s="18" t="s"/>
      <c r="F5" s="16" t="s"/>
      <c r="G5" s="16" t="s"/>
      <c r="H5" s="16" t="s"/>
      <c r="I5" s="18" t="s"/>
      <c r="J5" s="16" t="s"/>
      <c r="K5" s="16" t="s"/>
      <c r="L5" s="18" t="s"/>
      <c r="M5" s="18" t="s"/>
      <c r="N5" s="16" t="s"/>
    </row>
    <row r="6" spans="1:14">
      <c r="A6" s="13">
        <v>5</v>
      </c>
      <c r="B6" s="16" t="s"/>
      <c r="C6" s="16" t="s"/>
      <c r="D6" s="18" t="s"/>
      <c r="E6" s="18" t="s"/>
      <c r="F6" s="16" t="s"/>
      <c r="G6" s="16" t="s"/>
      <c r="H6" s="16" t="s"/>
      <c r="I6" s="18" t="s"/>
      <c r="J6" s="16" t="s"/>
      <c r="K6" s="16" t="s"/>
      <c r="L6" s="18" t="s"/>
      <c r="M6" s="18" t="s"/>
      <c r="N6" s="16" t="s"/>
    </row>
  </sheetData>
  <dataValidations>
    <dataValidation type="list" operator="between" allowBlank="1" sqref="E2:E6">
      <formula1>"男,女"</formula1>
    </dataValidation>
    <dataValidation type="list" operator="between" allowBlank="1" sqref="G2:G6">
      <formula1>"硕士研究生,博士研究生,硕士,博士,讲师,副教授,教授"</formula1>
    </dataValidation>
    <dataValidation type="list" operator="between" allowBlank="1" sqref="H2:H6">
      <formula1>"硕士研究生,博士研究生,硕士,博士"</formula1>
    </dataValidation>
    <dataValidation type="list" operator="between" allowBlank="1" sqref="I2:I6">
      <formula1>"是,否"</formula1>
    </dataValidation>
    <dataValidation type="list" operator="between" allowBlank="1" sqref="M2:M6">
      <formula1>"是,否"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>
  <sheetPr>
    <pageSetUpPr fitToPage="1"/>
  </sheetPr>
  <dimension ref="I7"/>
  <sheetViews>
    <sheetView showGridLines="0" workbookViewId="0">
      <pane ySplit="1" topLeftCell="A2" activePane="bottomLeft" state="frozen"/>
    </sheetView>
  </sheetViews>
  <sheetFormatPr defaultColWidth="9" defaultRowHeight="16.8" outlineLevelRow="6"/>
  <cols>
    <col min="1" max="1" width="6" customWidth="1"/>
    <col min="2" max="2" width="10" customWidth="1"/>
    <col min="3" max="3" width="32" customWidth="1"/>
    <col min="4" max="4" width="42" customWidth="1"/>
    <col min="5" max="5" width="24" customWidth="1"/>
    <col min="6" max="6" width="30" customWidth="1"/>
    <col min="7" max="7" width="14" customWidth="1"/>
    <col min="8" max="8" width="12" customWidth="1"/>
    <col min="9" max="9" width="40" customWidth="1"/>
  </cols>
  <sheetData>
    <row r="1" spans="1:9" ht="30" customHeight="1">
      <c r="A1" s="8" t="s">
        <v>7</v>
      </c>
      <c r="B1" s="8" t="s">
        <v>167</v>
      </c>
      <c r="C1" s="8" t="s">
        <v>77</v>
      </c>
      <c r="D1" s="8" t="s">
        <v>82</v>
      </c>
      <c r="E1" s="8" t="s">
        <v>168</v>
      </c>
      <c r="F1" s="8" t="s">
        <v>169</v>
      </c>
      <c r="G1" s="8" t="s">
        <v>129</v>
      </c>
      <c r="H1" s="8" t="s">
        <v>170</v>
      </c>
      <c r="I1" s="8" t="s">
        <v>171</v>
      </c>
    </row>
    <row r="2" spans="1:9" ht="32">
      <c r="A2" s="13">
        <v>1</v>
      </c>
      <c r="B2" s="13" t="s">
        <v>172</v>
      </c>
      <c r="C2" s="15" t="s">
        <v>173</v>
      </c>
      <c r="D2" s="15" t="s">
        <v>174</v>
      </c>
      <c r="E2" s="13" t="s">
        <v>175</v>
      </c>
      <c r="F2" s="23" t="s">
        <v>231</v>
      </c>
      <c r="G2" s="24" t="s">
        <v>237</v>
      </c>
      <c r="H2" s="25" t="s">
        <v>238</v>
      </c>
      <c r="I2" s="15" t="s">
        <v>176</v>
      </c>
    </row>
    <row r="3" spans="1:9">
      <c r="A3" s="13">
        <v>2</v>
      </c>
      <c r="B3" s="13" t="s">
        <v>177</v>
      </c>
      <c r="C3" s="15" t="s">
        <v>178</v>
      </c>
      <c r="D3" s="15" t="s">
        <v>179</v>
      </c>
      <c r="E3" s="13" t="s">
        <v>180</v>
      </c>
      <c r="F3" s="23" t="s">
        <v>232</v>
      </c>
      <c r="G3" s="24" t="s">
        <v>237</v>
      </c>
      <c r="H3" s="25" t="s">
        <v>238</v>
      </c>
      <c r="I3" s="15" t="s">
        <v>181</v>
      </c>
    </row>
    <row r="4" spans="1:9" ht="32">
      <c r="A4" s="13">
        <v>3</v>
      </c>
      <c r="B4" s="13" t="s">
        <v>182</v>
      </c>
      <c r="C4" s="15" t="s">
        <v>183</v>
      </c>
      <c r="D4" s="15" t="s">
        <v>184</v>
      </c>
      <c r="E4" s="13" t="s">
        <v>185</v>
      </c>
      <c r="F4" s="23" t="s">
        <v>233</v>
      </c>
      <c r="G4" s="24" t="s">
        <v>237</v>
      </c>
      <c r="H4" s="25" t="s">
        <v>238</v>
      </c>
      <c r="I4" s="15" t="s">
        <v>186</v>
      </c>
    </row>
    <row r="5" spans="1:9" ht="32">
      <c r="A5" s="13">
        <v>4</v>
      </c>
      <c r="B5" s="13" t="s">
        <v>187</v>
      </c>
      <c r="C5" s="15" t="s">
        <v>188</v>
      </c>
      <c r="D5" s="15" t="s">
        <v>189</v>
      </c>
      <c r="E5" s="13" t="s">
        <v>190</v>
      </c>
      <c r="F5" s="23" t="s">
        <v>234</v>
      </c>
      <c r="G5" s="24" t="s">
        <v>237</v>
      </c>
      <c r="H5" s="25" t="s">
        <v>238</v>
      </c>
      <c r="I5" s="15" t="s">
        <v>191</v>
      </c>
    </row>
    <row r="6" spans="1:9">
      <c r="A6" s="13">
        <v>5</v>
      </c>
      <c r="B6" s="13" t="s">
        <v>192</v>
      </c>
      <c r="C6" s="15" t="s">
        <v>193</v>
      </c>
      <c r="D6" s="15" t="s">
        <v>194</v>
      </c>
      <c r="E6" s="13" t="s">
        <v>195</v>
      </c>
      <c r="F6" s="16" t="s">
        <v>196</v>
      </c>
      <c r="G6" s="18" t="s">
        <v>196</v>
      </c>
      <c r="H6" s="13" t="s">
        <v>38</v>
      </c>
      <c r="I6" s="15" t="s">
        <v>197</v>
      </c>
    </row>
    <row r="7" spans="1:9" ht="32">
      <c r="A7" s="13">
        <v>6</v>
      </c>
      <c r="B7" s="13" t="s">
        <v>198</v>
      </c>
      <c r="C7" s="15" t="s">
        <v>199</v>
      </c>
      <c r="D7" s="15" t="s">
        <v>200</v>
      </c>
      <c r="E7" s="13" t="s">
        <v>195</v>
      </c>
      <c r="F7" s="16" t="s">
        <v>196</v>
      </c>
      <c r="G7" s="18" t="s">
        <v>196</v>
      </c>
      <c r="H7" s="13" t="s">
        <v>38</v>
      </c>
      <c r="I7" s="15" t="s">
        <v>201</v>
      </c>
    </row>
  </sheetData>
  <dataValidations>
    <dataValidation type="list" operator="between" allowBlank="1" sqref="H2:H7">
      <formula1>"是,否"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>
  <sheetPr/>
  <dimension ref="B16"/>
  <sheetViews>
    <sheetView showGridLines="0" workbookViewId="0">
      <pane ySplit="1" topLeftCell="A2" activePane="bottomLeft" state="frozen"/>
    </sheetView>
  </sheetViews>
  <sheetFormatPr defaultColWidth="9" defaultRowHeight="16.8" outlineLevelCol="1"/>
  <cols>
    <col min="1" max="1" width="24" customWidth="1"/>
    <col min="2" max="2" width="96" customWidth="1"/>
  </cols>
  <sheetData>
    <row r="1" spans="1:2" ht="26" customHeight="1">
      <c r="A1" s="8" t="s">
        <v>202</v>
      </c>
      <c r="B1" s="8" t="s">
        <v>203</v>
      </c>
    </row>
    <row r="2" spans="1:2">
      <c r="A2" s="19" t="s">
        <v>204</v>
      </c>
      <c r="B2" s="15" t="s">
        <v>205</v>
      </c>
    </row>
    <row r="3" spans="1:2">
      <c r="A3" s="19" t="s">
        <v>31</v>
      </c>
      <c r="B3" s="15" t="s">
        <v>206</v>
      </c>
    </row>
    <row r="4" spans="1:2">
      <c r="A4" s="19" t="s">
        <v>207</v>
      </c>
      <c r="B4" s="15" t="s">
        <v>208</v>
      </c>
    </row>
    <row r="5" spans="1:2">
      <c r="A5" s="19" t="s">
        <v>43</v>
      </c>
      <c r="B5" s="15" t="s">
        <v>209</v>
      </c>
    </row>
    <row r="6" spans="1:2">
      <c r="A6" s="19" t="s">
        <v>210</v>
      </c>
      <c r="B6" s="15" t="s">
        <v>211</v>
      </c>
    </row>
    <row r="7" spans="1:2">
      <c r="A7" s="19" t="s">
        <v>212</v>
      </c>
      <c r="B7" s="15" t="s">
        <v>213</v>
      </c>
    </row>
    <row r="8" spans="1:2">
      <c r="A8" s="19" t="s">
        <v>214</v>
      </c>
      <c r="B8" s="15" t="s">
        <v>215</v>
      </c>
    </row>
    <row r="9" spans="1:2">
      <c r="A9" s="19" t="s">
        <v>85</v>
      </c>
      <c r="B9" s="15" t="s">
        <v>216</v>
      </c>
    </row>
    <row r="10" spans="1:2">
      <c r="A10" s="19" t="s">
        <v>217</v>
      </c>
      <c r="B10" s="15" t="s">
        <v>218</v>
      </c>
    </row>
    <row r="11" spans="1:2" ht="32">
      <c r="A11" s="19" t="s">
        <v>219</v>
      </c>
      <c r="B11" s="15" t="s">
        <v>220</v>
      </c>
    </row>
    <row r="12" spans="1:2">
      <c r="A12" s="19" t="s">
        <v>221</v>
      </c>
      <c r="B12" s="15" t="s">
        <v>222</v>
      </c>
    </row>
    <row r="13" spans="1:2" ht="32">
      <c r="A13" s="19" t="s">
        <v>223</v>
      </c>
      <c r="B13" s="15" t="s">
        <v>224</v>
      </c>
    </row>
    <row r="14" spans="1:2" ht="32">
      <c r="A14" s="19" t="s">
        <v>225</v>
      </c>
      <c r="B14" s="15" t="s">
        <v>226</v>
      </c>
    </row>
    <row r="15" spans="1:2">
      <c r="A15" s="19" t="s">
        <v>227</v>
      </c>
      <c r="B15" s="15" t="s">
        <v>228</v>
      </c>
    </row>
    <row r="16" spans="1:2">
      <c r="A16" s="19" t="s">
        <v>229</v>
      </c>
      <c r="B16" s="15" t="s">
        <v>230</v>
      </c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2026-09-15T15:50:40Z</dcterms:created>
  <dcterms:modified xsi:type="dcterms:W3CDTF">2026-09-15T15:50:40Z</dcterms:modified>
</cp:coreProperties>
</file>